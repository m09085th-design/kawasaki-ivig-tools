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計算シート" sheetId="1" state="visible" r:id="rId1"/>
    <sheet name="年齢参考値" sheetId="2" state="visible" r:id="rId2"/>
    <sheet name="製剤データ" sheetId="3" state="visible" r:id="rId3"/>
    <sheet name="アミノ酸製剤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8">
    <font>
      <name val="Calibri"/>
      <family val="2"/>
      <color theme="1"/>
      <sz val="11"/>
      <scheme val="minor"/>
    </font>
    <font>
      <name val="Meiryo"/>
      <b val="1"/>
      <color rgb="00FFFFFF"/>
      <sz val="16"/>
    </font>
    <font>
      <name val="Meiryo"/>
      <i val="1"/>
      <color rgb="00B71C1C"/>
      <sz val="9"/>
    </font>
    <font>
      <name val="Meiryo"/>
      <b val="1"/>
      <color rgb="00FFFFFF"/>
      <sz val="11"/>
    </font>
    <font>
      <name val="Meiryo"/>
      <color rgb="00000000"/>
      <sz val="10"/>
    </font>
    <font>
      <name val="Meiryo"/>
      <b val="1"/>
      <color rgb="001A237E"/>
      <sz val="11"/>
    </font>
    <font>
      <name val="Meiryo"/>
      <i val="1"/>
      <color rgb="00757575"/>
      <sz val="9"/>
    </font>
    <font>
      <name val="Meiryo"/>
      <b val="1"/>
      <color rgb="00FFFFFF"/>
      <sz val="10"/>
    </font>
    <font>
      <name val="Meiryo"/>
      <color rgb="00546E7A"/>
      <sz val="9"/>
    </font>
    <font>
      <name val="Meiryo"/>
      <color rgb="001B5E20"/>
      <sz val="10"/>
    </font>
    <font>
      <name val="Meiryo"/>
      <b val="1"/>
      <color rgb="00000000"/>
      <sz val="10"/>
    </font>
    <font>
      <name val="Meiryo"/>
      <i val="1"/>
      <color rgb="009E9E9E"/>
      <sz val="9"/>
    </font>
    <font>
      <name val="Meiryo"/>
      <b val="1"/>
      <color rgb="00B71C1C"/>
      <sz val="10"/>
    </font>
    <font>
      <name val="Meiryo"/>
      <color rgb="00B71C1C"/>
      <sz val="9"/>
    </font>
    <font>
      <name val="Meiryo"/>
      <b val="1"/>
      <color rgb="00B71C1C"/>
      <sz val="11"/>
    </font>
    <font>
      <name val="Meiryo"/>
      <i val="1"/>
      <color rgb="00546E7A"/>
      <sz val="8"/>
    </font>
    <font>
      <name val="Meiryo"/>
      <b val="1"/>
      <color rgb="00FFFFFF"/>
      <sz val="9"/>
    </font>
    <font>
      <name val="Meiryo"/>
      <color rgb="00000000"/>
      <sz val="9"/>
    </font>
  </fonts>
  <fills count="17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FFEBEE"/>
        <bgColor rgb="00FFEBEE"/>
      </patternFill>
    </fill>
    <fill>
      <patternFill patternType="solid">
        <fgColor rgb="0037474F"/>
        <bgColor rgb="0037474F"/>
      </patternFill>
    </fill>
    <fill>
      <patternFill patternType="solid">
        <fgColor rgb="00FFF9C4"/>
        <bgColor rgb="00FFF9C4"/>
      </patternFill>
    </fill>
    <fill>
      <patternFill patternType="solid">
        <fgColor rgb="00455A64"/>
        <bgColor rgb="00455A64"/>
      </patternFill>
    </fill>
    <fill>
      <patternFill patternType="solid">
        <fgColor rgb="00546E7A"/>
        <bgColor rgb="00546E7A"/>
      </patternFill>
    </fill>
    <fill>
      <patternFill patternType="solid">
        <fgColor rgb="00E8F5E9"/>
        <bgColor rgb="00E8F5E9"/>
      </patternFill>
    </fill>
    <fill>
      <patternFill patternType="solid">
        <fgColor rgb="001565C0"/>
        <bgColor rgb="001565C0"/>
      </patternFill>
    </fill>
    <fill>
      <patternFill patternType="solid">
        <fgColor rgb="00E3F2FD"/>
        <bgColor rgb="00E3F2FD"/>
      </patternFill>
    </fill>
    <fill>
      <patternFill patternType="solid">
        <fgColor rgb="0000695C"/>
        <bgColor rgb="0000695C"/>
      </patternFill>
    </fill>
    <fill>
      <patternFill patternType="solid">
        <fgColor rgb="001B5E20"/>
        <bgColor rgb="001B5E20"/>
      </patternFill>
    </fill>
    <fill>
      <patternFill patternType="solid">
        <fgColor rgb="002E7D32"/>
        <bgColor rgb="002E7D32"/>
      </patternFill>
    </fill>
    <fill>
      <patternFill patternType="solid">
        <fgColor rgb="00F5F5F5"/>
        <bgColor rgb="00F5F5F5"/>
      </patternFill>
    </fill>
    <fill>
      <patternFill patternType="solid">
        <fgColor rgb="00BF360C"/>
        <bgColor rgb="00BF360C"/>
      </patternFill>
    </fill>
    <fill>
      <patternFill patternType="solid">
        <fgColor rgb="00E64A19"/>
        <bgColor rgb="00E64A1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3" fillId="6" borderId="0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164" fontId="9" fillId="8" borderId="1" applyAlignment="1" pivotButton="0" quotePrefix="0" xfId="0">
      <alignment horizontal="center" vertical="center"/>
    </xf>
    <xf numFmtId="0" fontId="3" fillId="9" borderId="0" applyAlignment="1" pivotButton="0" quotePrefix="0" xfId="0">
      <alignment horizontal="left" vertical="center"/>
    </xf>
    <xf numFmtId="1" fontId="4" fillId="10" borderId="1" applyAlignment="1" pivotButton="0" quotePrefix="0" xfId="0">
      <alignment horizontal="center" vertical="center"/>
    </xf>
    <xf numFmtId="1" fontId="5" fillId="5" borderId="1" applyAlignment="1" pivotButton="0" quotePrefix="0" xfId="0">
      <alignment horizontal="center" vertical="center"/>
    </xf>
    <xf numFmtId="2" fontId="4" fillId="10" borderId="1" applyAlignment="1" pivotButton="0" quotePrefix="0" xfId="0">
      <alignment horizontal="center" vertical="center"/>
    </xf>
    <xf numFmtId="0" fontId="3" fillId="11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left" vertical="center"/>
    </xf>
    <xf numFmtId="0" fontId="7" fillId="13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center" vertical="center"/>
    </xf>
    <xf numFmtId="2" fontId="14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164" fontId="4" fillId="10" borderId="1" applyAlignment="1" pivotButton="0" quotePrefix="0" xfId="0">
      <alignment horizontal="center" vertical="center"/>
    </xf>
    <xf numFmtId="0" fontId="15" fillId="14" borderId="0" applyAlignment="1" pivotButton="0" quotePrefix="0" xfId="0">
      <alignment horizontal="left" vertical="top" wrapText="1"/>
    </xf>
    <xf numFmtId="0" fontId="3" fillId="15" borderId="0" applyAlignment="1" pivotButton="0" quotePrefix="0" xfId="0">
      <alignment horizontal="left" vertical="center"/>
    </xf>
    <xf numFmtId="0" fontId="16" fillId="16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right" vertical="center"/>
    </xf>
    <xf numFmtId="0" fontId="17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name val="Meiryo"/>
        <b val="1"/>
        <color rgb="001B5E20"/>
        <sz val="10"/>
      </font>
      <fill>
        <patternFill patternType="solid">
          <fgColor rgb="00C8E6C9"/>
          <bgColor rgb="00C8E6C9"/>
        </patternFill>
      </fill>
    </dxf>
    <dxf>
      <font>
        <name val="Meiryo"/>
        <b val="1"/>
        <color rgb="00E65100"/>
        <sz val="10"/>
      </font>
      <fill>
        <patternFill patternType="solid">
          <fgColor rgb="00FFF9C4"/>
          <bgColor rgb="00FFF9C4"/>
        </patternFill>
      </fill>
    </dxf>
    <dxf>
      <font>
        <name val="Meiryo"/>
        <b val="1"/>
        <color rgb="00B71C1C"/>
        <sz val="10"/>
      </font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 ht="36" customHeight="1">
      <c r="A1" s="1" t="inlineStr">
        <is>
          <t>小児高カロリー輸液 成分計算ツール</t>
        </is>
      </c>
    </row>
    <row r="2" ht="20" customHeight="1">
      <c r="A2" s="2" t="inlineStr">
        <is>
          <t>⚠ 成分値は概算です。使用前に必ず添付文書を確認し、医師・薬剤師と連携して処方してください。</t>
        </is>
      </c>
    </row>
    <row r="4" ht="22" customHeight="1">
      <c r="A4" s="3" t="inlineStr">
        <is>
          <t>■ 患者情報</t>
        </is>
      </c>
    </row>
    <row r="5">
      <c r="A5" s="4" t="inlineStr">
        <is>
          <t>体重 (kg)</t>
        </is>
      </c>
      <c r="B5" s="5" t="n">
        <v>10</v>
      </c>
      <c r="C5" s="6" t="inlineStr">
        <is>
          <t>kg</t>
        </is>
      </c>
    </row>
    <row r="6">
      <c r="A6" s="4" t="inlineStr">
        <is>
          <t>年齢区分</t>
        </is>
      </c>
      <c r="B6" s="7" t="inlineStr">
        <is>
          <t>乳児(1〜12ヶ月)</t>
        </is>
      </c>
      <c r="C6" s="6" t="inlineStr">
        <is>
          <t>↑ セルをクリックしてリストから選択</t>
        </is>
      </c>
    </row>
    <row r="8" ht="22" customHeight="1">
      <c r="A8" s="8" t="inlineStr">
        <is>
          <t>■ 目標成分量（参考値）</t>
        </is>
      </c>
    </row>
    <row r="9">
      <c r="A9" s="9" t="inlineStr">
        <is>
          <t>成分</t>
        </is>
      </c>
      <c r="B9" s="9" t="inlineStr">
        <is>
          <t>単位(/kg/日)</t>
        </is>
      </c>
      <c r="C9" s="9" t="inlineStr">
        <is>
          <t>目標 最小</t>
        </is>
      </c>
      <c r="D9" s="9" t="inlineStr">
        <is>
          <t>目標 最大</t>
        </is>
      </c>
      <c r="E9" s="9" t="inlineStr">
        <is>
          <t>絶対量 最小</t>
        </is>
      </c>
      <c r="F9" s="9" t="inlineStr">
        <is>
          <t>絶対量 最大</t>
        </is>
      </c>
      <c r="G9" s="9" t="inlineStr">
        <is>
          <t>絶対単位</t>
        </is>
      </c>
    </row>
    <row r="10">
      <c r="A10" s="4" t="inlineStr">
        <is>
          <t>輸液量</t>
        </is>
      </c>
      <c r="B10" s="10" t="inlineStr">
        <is>
          <t>mL/kg/日</t>
        </is>
      </c>
      <c r="C10" s="11">
        <f>IFERROR(VLOOKUP($B$6,年齢参考値!$A:$S,2,0),"")</f>
        <v/>
      </c>
      <c r="D10" s="11">
        <f>IFERROR(VLOOKUP($B$6,年齢参考値!$A:$S,3,0),"")</f>
        <v/>
      </c>
      <c r="E10" s="11">
        <f>IFERROR(C10*$B$5,"")</f>
        <v/>
      </c>
      <c r="F10" s="11">
        <f>IFERROR(D10*$B$5,"")</f>
        <v/>
      </c>
      <c r="G10" s="10" t="inlineStr">
        <is>
          <t>mL/日</t>
        </is>
      </c>
    </row>
    <row r="11">
      <c r="A11" s="4" t="inlineStr">
        <is>
          <t>カロリー</t>
        </is>
      </c>
      <c r="B11" s="10" t="inlineStr">
        <is>
          <t>kcal/kg/日</t>
        </is>
      </c>
      <c r="C11" s="11">
        <f>IFERROR(VLOOKUP($B$6,年齢参考値!$A:$S,4,0),"")</f>
        <v/>
      </c>
      <c r="D11" s="11">
        <f>IFERROR(VLOOKUP($B$6,年齢参考値!$A:$S,5,0),"")</f>
        <v/>
      </c>
      <c r="E11" s="11">
        <f>IFERROR(C11*$B$5,"")</f>
        <v/>
      </c>
      <c r="F11" s="11">
        <f>IFERROR(D11*$B$5,"")</f>
        <v/>
      </c>
      <c r="G11" s="10" t="inlineStr">
        <is>
          <t>kcal/日</t>
        </is>
      </c>
    </row>
    <row r="12">
      <c r="A12" s="4" t="inlineStr">
        <is>
          <t>アミノ酸</t>
        </is>
      </c>
      <c r="B12" s="10" t="inlineStr">
        <is>
          <t>g/kg/日</t>
        </is>
      </c>
      <c r="C12" s="11">
        <f>IFERROR(VLOOKUP($B$6,年齢参考値!$A:$S,6,0),"")</f>
        <v/>
      </c>
      <c r="D12" s="11">
        <f>IFERROR(VLOOKUP($B$6,年齢参考値!$A:$S,7,0),"")</f>
        <v/>
      </c>
      <c r="E12" s="11">
        <f>IFERROR(C12*$B$5,"")</f>
        <v/>
      </c>
      <c r="F12" s="11">
        <f>IFERROR(D12*$B$5,"")</f>
        <v/>
      </c>
      <c r="G12" s="10" t="inlineStr">
        <is>
          <t>g/日</t>
        </is>
      </c>
    </row>
    <row r="13">
      <c r="A13" s="4" t="inlineStr">
        <is>
          <t>Na</t>
        </is>
      </c>
      <c r="B13" s="10" t="inlineStr">
        <is>
          <t>mEq/kg/日</t>
        </is>
      </c>
      <c r="C13" s="11">
        <f>IFERROR(VLOOKUP($B$6,年齢参考値!$A:$S,8,0),"")</f>
        <v/>
      </c>
      <c r="D13" s="11">
        <f>IFERROR(VLOOKUP($B$6,年齢参考値!$A:$S,9,0),"")</f>
        <v/>
      </c>
      <c r="E13" s="11">
        <f>IFERROR(C13*$B$5,"")</f>
        <v/>
      </c>
      <c r="F13" s="11">
        <f>IFERROR(D13*$B$5,"")</f>
        <v/>
      </c>
      <c r="G13" s="10" t="inlineStr">
        <is>
          <t>mEq/日</t>
        </is>
      </c>
    </row>
    <row r="14">
      <c r="A14" s="4" t="inlineStr">
        <is>
          <t>K</t>
        </is>
      </c>
      <c r="B14" s="10" t="inlineStr">
        <is>
          <t>mEq/kg/日</t>
        </is>
      </c>
      <c r="C14" s="11">
        <f>IFERROR(VLOOKUP($B$6,年齢参考値!$A:$S,10,0),"")</f>
        <v/>
      </c>
      <c r="D14" s="11">
        <f>IFERROR(VLOOKUP($B$6,年齢参考値!$A:$S,11,0),"")</f>
        <v/>
      </c>
      <c r="E14" s="11">
        <f>IFERROR(C14*$B$5,"")</f>
        <v/>
      </c>
      <c r="F14" s="11">
        <f>IFERROR(D14*$B$5,"")</f>
        <v/>
      </c>
      <c r="G14" s="10" t="inlineStr">
        <is>
          <t>mEq/日</t>
        </is>
      </c>
    </row>
    <row r="15">
      <c r="A15" s="4" t="inlineStr">
        <is>
          <t>Ca</t>
        </is>
      </c>
      <c r="B15" s="10" t="inlineStr">
        <is>
          <t>mEq/kg/日</t>
        </is>
      </c>
      <c r="C15" s="11">
        <f>IFERROR(VLOOKUP($B$6,年齢参考値!$A:$S,12,0),"")</f>
        <v/>
      </c>
      <c r="D15" s="11">
        <f>IFERROR(VLOOKUP($B$6,年齢参考値!$A:$S,13,0),"")</f>
        <v/>
      </c>
      <c r="E15" s="11">
        <f>IFERROR(C15*$B$5,"")</f>
        <v/>
      </c>
      <c r="F15" s="11">
        <f>IFERROR(D15*$B$5,"")</f>
        <v/>
      </c>
      <c r="G15" s="10" t="inlineStr">
        <is>
          <t>mEq/日</t>
        </is>
      </c>
    </row>
    <row r="16">
      <c r="A16" s="4" t="inlineStr">
        <is>
          <t>P</t>
        </is>
      </c>
      <c r="B16" s="10" t="inlineStr">
        <is>
          <t>mmol/kg/日</t>
        </is>
      </c>
      <c r="C16" s="11">
        <f>IFERROR(VLOOKUP($B$6,年齢参考値!$A:$S,14,0),"")</f>
        <v/>
      </c>
      <c r="D16" s="11">
        <f>IFERROR(VLOOKUP($B$6,年齢参考値!$A:$S,15,0),"")</f>
        <v/>
      </c>
      <c r="E16" s="11">
        <f>IFERROR(C16*$B$5,"")</f>
        <v/>
      </c>
      <c r="F16" s="11">
        <f>IFERROR(D16*$B$5,"")</f>
        <v/>
      </c>
      <c r="G16" s="10" t="inlineStr">
        <is>
          <t>mmol/日</t>
        </is>
      </c>
    </row>
    <row r="17">
      <c r="A17" s="4" t="inlineStr">
        <is>
          <t>Mg</t>
        </is>
      </c>
      <c r="B17" s="10" t="inlineStr">
        <is>
          <t>mEq/kg/日</t>
        </is>
      </c>
      <c r="C17" s="11">
        <f>IFERROR(VLOOKUP($B$6,年齢参考値!$A:$S,16,0),"")</f>
        <v/>
      </c>
      <c r="D17" s="11">
        <f>IFERROR(VLOOKUP($B$6,年齢参考値!$A:$S,17,0),"")</f>
        <v/>
      </c>
      <c r="E17" s="11">
        <f>IFERROR(C17*$B$5,"")</f>
        <v/>
      </c>
      <c r="F17" s="11">
        <f>IFERROR(D17*$B$5,"")</f>
        <v/>
      </c>
      <c r="G17" s="10" t="inlineStr">
        <is>
          <t>mEq/日</t>
        </is>
      </c>
    </row>
    <row r="18">
      <c r="A18" s="4" t="inlineStr">
        <is>
          <t>GIR</t>
        </is>
      </c>
      <c r="B18" s="10" t="inlineStr">
        <is>
          <t>mg/kg/min</t>
        </is>
      </c>
      <c r="C18" s="11">
        <f>IFERROR(VLOOKUP($B$6,年齢参考値!$A:$S,18,0),"")</f>
        <v/>
      </c>
      <c r="D18" s="11">
        <f>IFERROR(VLOOKUP($B$6,年齢参考値!$A:$S,19,0),"")</f>
        <v/>
      </c>
      <c r="E18" s="11">
        <f>IFERROR(VLOOKUP($B$6,年齢参考値!$A:$S,18,0),"")</f>
        <v/>
      </c>
      <c r="F18" s="11">
        <f>IFERROR(VLOOKUP($B$6,年齢参考値!$A:$S,19,0),"")</f>
        <v/>
      </c>
      <c r="G18" s="10" t="inlineStr">
        <is>
          <t>mg/kg/min</t>
        </is>
      </c>
    </row>
    <row r="20" ht="22" customHeight="1">
      <c r="A20" s="12" t="inlineStr">
        <is>
          <t>■ 製剤設定</t>
        </is>
      </c>
    </row>
    <row r="21">
      <c r="A21" s="4" t="inlineStr">
        <is>
          <t>主製剤</t>
        </is>
      </c>
      <c r="B21" s="7" t="inlineStr">
        <is>
          <t>ハイカリックNC-N(700mL/本)</t>
        </is>
      </c>
      <c r="C21" s="6" t="inlineStr">
        <is>
          <t>↑ リストから選択</t>
        </is>
      </c>
    </row>
    <row r="22">
      <c r="A22" s="4" t="inlineStr">
        <is>
          <t>1本の容量 (自動)</t>
        </is>
      </c>
      <c r="B22" s="13">
        <f>IFERROR(VLOOKUP(B21,製剤データ!$A:$J,2,0),"")</f>
        <v/>
      </c>
      <c r="C22" s="6" t="inlineStr">
        <is>
          <t>mL/本（自動取得）</t>
        </is>
      </c>
    </row>
    <row r="23">
      <c r="A23" s="4" t="inlineStr">
        <is>
          <t>使用量 (mL/日)</t>
        </is>
      </c>
      <c r="B23" s="14" t="n">
        <v>700</v>
      </c>
      <c r="C23" s="6" t="inlineStr">
        <is>
          <t>mL/日 ← ここを変更</t>
        </is>
      </c>
    </row>
    <row r="24">
      <c r="A24" s="4" t="inlineStr">
        <is>
          <t>（本数換算）</t>
        </is>
      </c>
      <c r="B24" s="15">
        <f>IFERROR(B23/B22,"")</f>
        <v/>
      </c>
      <c r="C24" s="6" t="inlineStr">
        <is>
          <t>本/日</t>
        </is>
      </c>
    </row>
    <row r="26">
      <c r="A26" s="4" t="inlineStr">
        <is>
          <t>アミノ酸製剤（任意）</t>
        </is>
      </c>
      <c r="B26" s="7" t="inlineStr">
        <is>
          <t>なし</t>
        </is>
      </c>
      <c r="C26" s="6" t="inlineStr">
        <is>
          <t>グルアセト35使用時に選択</t>
        </is>
      </c>
    </row>
    <row r="27">
      <c r="A27" s="4" t="inlineStr">
        <is>
          <t>アミノ酸製剤 使用量 (mL/日)</t>
        </is>
      </c>
      <c r="B27" s="14" t="n">
        <v>0</v>
      </c>
      <c r="C27" s="6" t="inlineStr">
        <is>
          <t>mL/日</t>
        </is>
      </c>
    </row>
    <row r="29">
      <c r="A29" s="4" t="inlineStr">
        <is>
          <t>5%ブドウ糖液 (mL/日)</t>
        </is>
      </c>
      <c r="B29" s="14" t="n">
        <v>0</v>
      </c>
      <c r="C29" s="6" t="inlineStr">
        <is>
          <t>mL/日</t>
        </is>
      </c>
    </row>
    <row r="30">
      <c r="A30" s="4" t="inlineStr">
        <is>
          <t>生理食塩液 (mL/日)</t>
        </is>
      </c>
      <c r="B30" s="14" t="n">
        <v>0</v>
      </c>
      <c r="C30" s="6" t="inlineStr">
        <is>
          <t>mL/日</t>
        </is>
      </c>
    </row>
    <row r="32" ht="22" customHeight="1">
      <c r="A32" s="16" t="inlineStr">
        <is>
          <t>■ 電解質補正液</t>
        </is>
      </c>
    </row>
    <row r="33">
      <c r="A33" s="4" t="inlineStr">
        <is>
          <t>10% NaCl (mL/日)</t>
        </is>
      </c>
      <c r="B33" s="5" t="n">
        <v>0</v>
      </c>
      <c r="C33" s="6" t="inlineStr">
        <is>
          <t>→ Na 1.71 mEq/mL</t>
        </is>
      </c>
    </row>
    <row r="34">
      <c r="A34" s="4" t="inlineStr">
        <is>
          <t>KCl 2mEq/mL (mL/日)</t>
        </is>
      </c>
      <c r="B34" s="5" t="n">
        <v>0</v>
      </c>
      <c r="C34" s="6" t="inlineStr">
        <is>
          <t>→ K 2.0 mEq/mL</t>
        </is>
      </c>
    </row>
    <row r="35">
      <c r="A35" s="4" t="inlineStr">
        <is>
          <t>グルコン酸Ca 10% (mL/日)</t>
        </is>
      </c>
      <c r="B35" s="5" t="n">
        <v>0</v>
      </c>
      <c r="C35" s="6" t="inlineStr">
        <is>
          <t>→ Ca 0.45 mEq/mL</t>
        </is>
      </c>
    </row>
    <row r="36">
      <c r="A36" s="4" t="inlineStr">
        <is>
          <t>リン酸Na液 (mL/日)</t>
        </is>
      </c>
      <c r="B36" s="5" t="n">
        <v>0</v>
      </c>
      <c r="C36" s="6" t="inlineStr">
        <is>
          <t>→ P 1.0 mmol + Na 2.0 mEq/mL</t>
        </is>
      </c>
    </row>
    <row r="37">
      <c r="A37" s="4" t="inlineStr">
        <is>
          <t>MgSO4 1mEq/mL (mL/日)</t>
        </is>
      </c>
      <c r="B37" s="5" t="n">
        <v>0</v>
      </c>
      <c r="C37" s="6" t="inlineStr">
        <is>
          <t>→ Mg 1.0 mEq/mL</t>
        </is>
      </c>
    </row>
    <row r="39" ht="22" customHeight="1">
      <c r="A39" s="17" t="inlineStr">
        <is>
          <t>■ 計算結果</t>
        </is>
      </c>
    </row>
    <row r="40">
      <c r="A40" s="18" t="inlineStr">
        <is>
          <t>成分</t>
        </is>
      </c>
      <c r="B40" s="18" t="inlineStr">
        <is>
          <t>単位</t>
        </is>
      </c>
      <c r="C40" s="18" t="inlineStr">
        <is>
          <t>投与量/日</t>
        </is>
      </c>
      <c r="D40" s="18" t="inlineStr">
        <is>
          <t>/ kg/日</t>
        </is>
      </c>
      <c r="E40" s="18" t="inlineStr">
        <is>
          <t>目標 最小</t>
        </is>
      </c>
      <c r="F40" s="18" t="inlineStr">
        <is>
          <t>目標 最大</t>
        </is>
      </c>
      <c r="G40" s="18" t="inlineStr">
        <is>
          <t>判定</t>
        </is>
      </c>
    </row>
    <row r="41">
      <c r="A41" s="19" t="inlineStr">
        <is>
          <t>総輸液量</t>
        </is>
      </c>
      <c r="B41" s="10" t="inlineStr">
        <is>
          <t>mL</t>
        </is>
      </c>
      <c r="C41" s="15">
        <f>B23+B27+B29+B30+B33+B34+B35+B36+B37</f>
        <v/>
      </c>
      <c r="D41" s="15">
        <f>IFERROR(C41/$B$5,"")</f>
        <v/>
      </c>
      <c r="E41" s="11">
        <f>IFERROR(VLOOKUP($B$6,年齢参考値!$A:$S,2,0),"")</f>
        <v/>
      </c>
      <c r="F41" s="11">
        <f>IFERROR(VLOOKUP($B$6,年齢参考値!$A:$S,3,0),"")</f>
        <v/>
      </c>
      <c r="G41" s="20">
        <f>IFERROR(IF(D41=""  ,"",IF(D41&lt;E41*0.8,"不足",IF(D41&gt;F41*1.2,"過剰",IF(D41&lt;E41,"やや不足",IF(D41&gt;F41,"やや過剰","適正"))))),"")</f>
        <v/>
      </c>
    </row>
    <row r="42">
      <c r="A42" s="19" t="inlineStr">
        <is>
          <t>総カロリー</t>
        </is>
      </c>
      <c r="B42" s="10" t="inlineStr">
        <is>
          <t>kcal</t>
        </is>
      </c>
      <c r="C42" s="15">
        <f>(=IFERROR((B23/IFERROR(B22,1))*VLOOKUP(B21,製剤データ!$A:$J,3,0),0)+B29*0.05)*3.4+(=IFERROR((B23/IFERROR(B22,1))*VLOOKUP(B21,製剤データ!$A:$J,4,0),0)+IFERROR((B27/IFERROR(VLOOKUP(B26,アミノ酸製剤!$A:$E,2,0),1))*VLOOKUP(B26,アミノ酸製剤!$A:$E,3,0),0))*4.0+(=IFERROR((B23/IFERROR(B22,1))*VLOOKUP(B21,製剤データ!$A:$J,5,0),0))*9.0</f>
        <v/>
      </c>
      <c r="D42" s="15">
        <f>IFERROR(C42/$B$5,"")</f>
        <v/>
      </c>
      <c r="E42" s="11">
        <f>IFERROR(VLOOKUP($B$6,年齢参考値!$A:$S,4,0),"")</f>
        <v/>
      </c>
      <c r="F42" s="11">
        <f>IFERROR(VLOOKUP($B$6,年齢参考値!$A:$S,5,0),"")</f>
        <v/>
      </c>
      <c r="G42" s="20">
        <f>IFERROR(IF(D42=""  ,"",IF(D42&lt;E42*0.8,"不足",IF(D42&gt;F42*1.2,"過剰",IF(D42&lt;E42,"やや不足",IF(D42&gt;F42,"やや過剰","適正"))))),"")</f>
        <v/>
      </c>
    </row>
    <row r="43">
      <c r="A43" s="19" t="inlineStr">
        <is>
          <t>アミノ酸</t>
        </is>
      </c>
      <c r="B43" s="10" t="inlineStr">
        <is>
          <t>g</t>
        </is>
      </c>
      <c r="C43" s="15">
        <f>IFERROR((B23/IFERROR(B22,1))*VLOOKUP(B21,製剤データ!$A:$J,4,0),0)+IFERROR((B27/IFERROR(VLOOKUP(B26,アミノ酸製剤!$A:$E,2,0),1))*VLOOKUP(B26,アミノ酸製剤!$A:$E,3,0),0)</f>
        <v/>
      </c>
      <c r="D43" s="15">
        <f>IFERROR(C43/$B$5,"")</f>
        <v/>
      </c>
      <c r="E43" s="11">
        <f>IFERROR(VLOOKUP($B$6,年齢参考値!$A:$S,6,0),"")</f>
        <v/>
      </c>
      <c r="F43" s="11">
        <f>IFERROR(VLOOKUP($B$6,年齢参考値!$A:$S,7,0),"")</f>
        <v/>
      </c>
      <c r="G43" s="20">
        <f>IFERROR(IF(D43=""  ,"",IF(D43&lt;E43*0.8,"不足",IF(D43&gt;F43*1.2,"過剰",IF(D43&lt;E43,"やや不足",IF(D43&gt;F43,"やや過剰","適正"))))),"")</f>
        <v/>
      </c>
    </row>
    <row r="44">
      <c r="A44" s="19" t="inlineStr">
        <is>
          <t>糖質</t>
        </is>
      </c>
      <c r="B44" s="10" t="inlineStr">
        <is>
          <t>g</t>
        </is>
      </c>
      <c r="C44" s="15">
        <f>IFERROR((B23/IFERROR(B22,1))*VLOOKUP(B21,製剤データ!$A:$J,3,0),0)+B29*0.05</f>
        <v/>
      </c>
      <c r="D44" s="15">
        <f>IFERROR(C44/$B$5,"")</f>
        <v/>
      </c>
      <c r="E44" s="11" t="inlineStr">
        <is>
          <t>—</t>
        </is>
      </c>
      <c r="F44" s="11" t="inlineStr">
        <is>
          <t>—</t>
        </is>
      </c>
      <c r="G44" s="21" t="inlineStr">
        <is>
          <t>（参考値なし）</t>
        </is>
      </c>
    </row>
    <row r="45">
      <c r="A45" s="19" t="inlineStr">
        <is>
          <t>脂質</t>
        </is>
      </c>
      <c r="B45" s="10" t="inlineStr">
        <is>
          <t>g</t>
        </is>
      </c>
      <c r="C45" s="15">
        <f>IFERROR((B23/IFERROR(B22,1))*VLOOKUP(B21,製剤データ!$A:$J,5,0),0)</f>
        <v/>
      </c>
      <c r="D45" s="15">
        <f>IFERROR(C45/$B$5,"")</f>
        <v/>
      </c>
      <c r="E45" s="11" t="inlineStr">
        <is>
          <t>—</t>
        </is>
      </c>
      <c r="F45" s="11" t="inlineStr">
        <is>
          <t>—</t>
        </is>
      </c>
      <c r="G45" s="21" t="inlineStr">
        <is>
          <t>（参考値なし）</t>
        </is>
      </c>
    </row>
    <row r="46">
      <c r="A46" s="19" t="inlineStr">
        <is>
          <t>Na</t>
        </is>
      </c>
      <c r="B46" s="10" t="inlineStr">
        <is>
          <t>mEq</t>
        </is>
      </c>
      <c r="C46" s="15">
        <f>IFERROR((B23/IFERROR(B22,1))*VLOOKUP(B21,製剤データ!$A:$J,6,0),0)+IFERROR((B27/IFERROR(VLOOKUP(B26,アミノ酸製剤!$A:$E,2,0),1))*VLOOKUP(B26,アミノ酸製剤!$A:$E,4,0),0)+B33*1.71+B36*2.0+B30*0.154</f>
        <v/>
      </c>
      <c r="D46" s="15">
        <f>IFERROR(C46/$B$5,"")</f>
        <v/>
      </c>
      <c r="E46" s="11">
        <f>IFERROR(VLOOKUP($B$6,年齢参考値!$A:$S,8,0),"")</f>
        <v/>
      </c>
      <c r="F46" s="11">
        <f>IFERROR(VLOOKUP($B$6,年齢参考値!$A:$S,9,0),"")</f>
        <v/>
      </c>
      <c r="G46" s="20">
        <f>IFERROR(IF(D46=""  ,"",IF(D46&lt;E46*0.8,"不足",IF(D46&gt;F46*1.2,"過剰",IF(D46&lt;E46,"やや不足",IF(D46&gt;F46,"やや過剰","適正"))))),"")</f>
        <v/>
      </c>
    </row>
    <row r="47">
      <c r="A47" s="19" t="inlineStr">
        <is>
          <t>K</t>
        </is>
      </c>
      <c r="B47" s="10" t="inlineStr">
        <is>
          <t>mEq</t>
        </is>
      </c>
      <c r="C47" s="15">
        <f>IFERROR((B23/IFERROR(B22,1))*VLOOKUP(B21,製剤データ!$A:$J,7,0),0)+IFERROR((B27/IFERROR(VLOOKUP(B26,アミノ酸製剤!$A:$E,2,0),1))*VLOOKUP(B26,アミノ酸製剤!$A:$E,5,0),0)+B34*2.0</f>
        <v/>
      </c>
      <c r="D47" s="15">
        <f>IFERROR(C47/$B$5,"")</f>
        <v/>
      </c>
      <c r="E47" s="11">
        <f>IFERROR(VLOOKUP($B$6,年齢参考値!$A:$S,10,0),"")</f>
        <v/>
      </c>
      <c r="F47" s="11">
        <f>IFERROR(VLOOKUP($B$6,年齢参考値!$A:$S,11,0),"")</f>
        <v/>
      </c>
      <c r="G47" s="20">
        <f>IFERROR(IF(D47=""  ,"",IF(D47&lt;E47*0.8,"不足",IF(D47&gt;F47*1.2,"過剰",IF(D47&lt;E47,"やや不足",IF(D47&gt;F47,"やや過剰","適正"))))),"")</f>
        <v/>
      </c>
    </row>
    <row r="48">
      <c r="A48" s="19" t="inlineStr">
        <is>
          <t>Ca</t>
        </is>
      </c>
      <c r="B48" s="10" t="inlineStr">
        <is>
          <t>mEq</t>
        </is>
      </c>
      <c r="C48" s="15">
        <f>IFERROR((B23/IFERROR(B22,1))*VLOOKUP(B21,製剤データ!$A:$J,8,0),0)+B35*0.45</f>
        <v/>
      </c>
      <c r="D48" s="15">
        <f>IFERROR(C48/$B$5,"")</f>
        <v/>
      </c>
      <c r="E48" s="11">
        <f>IFERROR(VLOOKUP($B$6,年齢参考値!$A:$S,12,0),"")</f>
        <v/>
      </c>
      <c r="F48" s="11">
        <f>IFERROR(VLOOKUP($B$6,年齢参考値!$A:$S,13,0),"")</f>
        <v/>
      </c>
      <c r="G48" s="20">
        <f>IFERROR(IF(D48=""  ,"",IF(D48&lt;E48*0.8,"不足",IF(D48&gt;F48*1.2,"過剰",IF(D48&lt;E48,"やや不足",IF(D48&gt;F48,"やや過剰","適正"))))),"")</f>
        <v/>
      </c>
    </row>
    <row r="49">
      <c r="A49" s="19" t="inlineStr">
        <is>
          <t>P</t>
        </is>
      </c>
      <c r="B49" s="10" t="inlineStr">
        <is>
          <t>mmol</t>
        </is>
      </c>
      <c r="C49" s="15">
        <f>IFERROR((B23/IFERROR(B22,1))*VLOOKUP(B21,製剤データ!$A:$J,10,0),0)+B36*1.0</f>
        <v/>
      </c>
      <c r="D49" s="15">
        <f>IFERROR(C49/$B$5,"")</f>
        <v/>
      </c>
      <c r="E49" s="11">
        <f>IFERROR(VLOOKUP($B$6,年齢参考値!$A:$S,14,0),"")</f>
        <v/>
      </c>
      <c r="F49" s="11">
        <f>IFERROR(VLOOKUP($B$6,年齢参考値!$A:$S,15,0),"")</f>
        <v/>
      </c>
      <c r="G49" s="20">
        <f>IFERROR(IF(D49=""  ,"",IF(D49&lt;E49*0.8,"不足",IF(D49&gt;F49*1.2,"過剰",IF(D49&lt;E49,"やや不足",IF(D49&gt;F49,"やや過剰","適正"))))),"")</f>
        <v/>
      </c>
    </row>
    <row r="50">
      <c r="A50" s="19" t="inlineStr">
        <is>
          <t>Mg</t>
        </is>
      </c>
      <c r="B50" s="10" t="inlineStr">
        <is>
          <t>mEq</t>
        </is>
      </c>
      <c r="C50" s="15">
        <f>IFERROR((B23/IFERROR(B22,1))*VLOOKUP(B21,製剤データ!$A:$J,9,0),0)+B37*1.0</f>
        <v/>
      </c>
      <c r="D50" s="15">
        <f>IFERROR(C50/$B$5,"")</f>
        <v/>
      </c>
      <c r="E50" s="11">
        <f>IFERROR(VLOOKUP($B$6,年齢参考値!$A:$S,16,0),"")</f>
        <v/>
      </c>
      <c r="F50" s="11">
        <f>IFERROR(VLOOKUP($B$6,年齢参考値!$A:$S,17,0),"")</f>
        <v/>
      </c>
      <c r="G50" s="20">
        <f>IFERROR(IF(D50=""  ,"",IF(D50&lt;E50*0.8,"不足",IF(D50&gt;F50*1.2,"過剰",IF(D50&lt;E50,"やや不足",IF(D50&gt;F50,"やや過剰","適正"))))),"")</f>
        <v/>
      </c>
    </row>
    <row r="51">
      <c r="A51" s="22" t="inlineStr">
        <is>
          <t>GIR</t>
        </is>
      </c>
      <c r="B51" s="23" t="inlineStr">
        <is>
          <t>mg/kg/min</t>
        </is>
      </c>
      <c r="C51" s="24">
        <f>IFERROR(C44*1000/1440/$B$5,"")</f>
        <v/>
      </c>
      <c r="D51" s="25" t="inlineStr">
        <is>
          <t>—</t>
        </is>
      </c>
      <c r="E51" s="11">
        <f>IFERROR(VLOOKUP($B$6,年齢参考値!$A:$S,18,0),"")</f>
        <v/>
      </c>
      <c r="F51" s="11">
        <f>IFERROR(VLOOKUP($B$6,年齢参考値!$A:$S,19,0),"")</f>
        <v/>
      </c>
      <c r="G51" s="20">
        <f>IFERROR(IF(C51&gt;F51*1.1,"過剰！高血糖注意",IF(C51&gt;F51,"やや高め",IF(C51&lt;E51,"やや低め","適正"))),"")</f>
        <v/>
      </c>
    </row>
    <row r="53">
      <c r="A53" s="19" t="inlineStr">
        <is>
          <t>Ca × P 積（配合変化チェック）</t>
        </is>
      </c>
      <c r="C53" s="26">
        <f>IFERROR((C48/C41*1000)*(C49/C41*1000),"")</f>
        <v/>
      </c>
      <c r="D53" s="10" t="inlineStr">
        <is>
          <t>mEq/L × mmol/L</t>
        </is>
      </c>
      <c r="E53" s="20">
        <f>IFERROR(IF(C53&gt;150,"🔴 危険！沈殿リスクあり→薬剤師へ相談",IF(C53&gt;100,"🟡 注意！薬剤師に配合確認を","🟢 安全範囲")),"")</f>
        <v/>
      </c>
    </row>
    <row r="55" ht="48" customHeight="1">
      <c r="A55" s="27" t="inlineStr">
        <is>
          <t>【参考文献・注意事項】
① Jochum F, et al. ESPGHAN/ESPEN/ESPR/CSPEN guidelines on pediatric parenteral nutrition. Clin Nutr. 2018.
② 日本静脈経腸栄養学会ガイドライン第3版 (2013)　③ ASPEN Pediatric Nutrition Support Core Curriculum
④ Ca×P積&gt;150 で沈殿形成リスクあり。有機リン酸(グリセロリン酸)の使用、またはラインを分離することを検討してください。</t>
        </is>
      </c>
    </row>
    <row r="58" ht="22" customHeight="1">
      <c r="A58" s="28" t="inlineStr">
        <is>
          <t>■ 製剤成分一覧（参考値 / 添付文書で要確認）</t>
        </is>
      </c>
    </row>
    <row r="59">
      <c r="A59" s="29" t="inlineStr">
        <is>
          <t>製剤名</t>
        </is>
      </c>
      <c r="B59" s="29" t="inlineStr">
        <is>
          <t>容量(mL)</t>
        </is>
      </c>
      <c r="C59" s="29" t="inlineStr">
        <is>
          <t>糖質(g)</t>
        </is>
      </c>
      <c r="D59" s="29" t="inlineStr">
        <is>
          <t>AA(g)</t>
        </is>
      </c>
      <c r="E59" s="29" t="inlineStr">
        <is>
          <t>脂質(g)</t>
        </is>
      </c>
      <c r="F59" s="29" t="inlineStr">
        <is>
          <t>Na(mEq)</t>
        </is>
      </c>
      <c r="G59" s="29" t="inlineStr">
        <is>
          <t>K(mEq)</t>
        </is>
      </c>
    </row>
    <row r="60">
      <c r="A60" s="30" t="inlineStr">
        <is>
          <t>グルアセト35(250mL/本)</t>
        </is>
      </c>
      <c r="B60" s="31" t="n">
        <v>250</v>
      </c>
      <c r="C60" s="31" t="n">
        <v>87.5</v>
      </c>
      <c r="D60" s="31" t="n">
        <v>0</v>
      </c>
      <c r="E60" s="31" t="n">
        <v>0</v>
      </c>
      <c r="F60" s="31" t="n">
        <v>34</v>
      </c>
      <c r="G60" s="31" t="n">
        <v>14.5</v>
      </c>
    </row>
    <row r="61">
      <c r="A61" s="30" t="inlineStr">
        <is>
          <t>ハイカリックNC-N(700mL/本)</t>
        </is>
      </c>
      <c r="B61" s="31" t="n">
        <v>700</v>
      </c>
      <c r="C61" s="31" t="n">
        <v>175</v>
      </c>
      <c r="D61" s="31" t="n">
        <v>30</v>
      </c>
      <c r="E61" s="31" t="n">
        <v>0</v>
      </c>
      <c r="F61" s="31" t="n">
        <v>35</v>
      </c>
      <c r="G61" s="31" t="n">
        <v>20</v>
      </c>
    </row>
    <row r="62">
      <c r="A62" s="30" t="inlineStr">
        <is>
          <t>ハイカリックNC-L(700mL/本)</t>
        </is>
      </c>
      <c r="B62" s="31" t="n">
        <v>700</v>
      </c>
      <c r="C62" s="31" t="n">
        <v>200</v>
      </c>
      <c r="D62" s="31" t="n">
        <v>30</v>
      </c>
      <c r="E62" s="31" t="n">
        <v>0</v>
      </c>
      <c r="F62" s="31" t="n">
        <v>35</v>
      </c>
      <c r="G62" s="31" t="n">
        <v>20</v>
      </c>
    </row>
    <row r="63">
      <c r="A63" s="30" t="inlineStr">
        <is>
          <t>フルカリック1号(903mL/本)</t>
        </is>
      </c>
      <c r="B63" s="31" t="n">
        <v>903</v>
      </c>
      <c r="C63" s="31" t="n">
        <v>150</v>
      </c>
      <c r="D63" s="31" t="n">
        <v>20</v>
      </c>
      <c r="E63" s="31" t="n">
        <v>20</v>
      </c>
      <c r="F63" s="31" t="n">
        <v>35</v>
      </c>
      <c r="G63" s="31" t="n">
        <v>20</v>
      </c>
    </row>
    <row r="64">
      <c r="A64" s="30" t="inlineStr">
        <is>
          <t>フルカリック2号(1103mL/本)</t>
        </is>
      </c>
      <c r="B64" s="31" t="n">
        <v>1103</v>
      </c>
      <c r="C64" s="31" t="n">
        <v>200</v>
      </c>
      <c r="D64" s="31" t="n">
        <v>40</v>
      </c>
      <c r="E64" s="31" t="n">
        <v>30</v>
      </c>
      <c r="F64" s="31" t="n">
        <v>50</v>
      </c>
      <c r="G64" s="31" t="n">
        <v>27</v>
      </c>
    </row>
    <row r="65">
      <c r="A65" s="30" t="inlineStr">
        <is>
          <t>フルカリック3号(1103mL/本)</t>
        </is>
      </c>
      <c r="B65" s="31" t="n">
        <v>1103</v>
      </c>
      <c r="C65" s="31" t="n">
        <v>250</v>
      </c>
      <c r="D65" s="31" t="n">
        <v>60</v>
      </c>
      <c r="E65" s="31" t="n">
        <v>40</v>
      </c>
      <c r="F65" s="31" t="n">
        <v>60</v>
      </c>
      <c r="G65" s="31" t="n">
        <v>34</v>
      </c>
    </row>
  </sheetData>
  <mergeCells count="11">
    <mergeCell ref="A32:G32"/>
    <mergeCell ref="A58:G58"/>
    <mergeCell ref="A1:G1"/>
    <mergeCell ref="A8:G8"/>
    <mergeCell ref="A39:G39"/>
    <mergeCell ref="E53:G53"/>
    <mergeCell ref="A55:G55"/>
    <mergeCell ref="A4:G4"/>
    <mergeCell ref="A20:G20"/>
    <mergeCell ref="A2:G2"/>
    <mergeCell ref="A53:B53"/>
  </mergeCells>
  <conditionalFormatting sqref="G41">
    <cfRule type="expression" priority="1" dxfId="0">
      <formula>G41="適正"</formula>
    </cfRule>
    <cfRule type="expression" priority="2" dxfId="1">
      <formula>ISNUMBER(SEARCH("やや",G41))</formula>
    </cfRule>
    <cfRule type="expression" priority="3" dxfId="1">
      <formula>OR(ISNUMBER(SEARCH("不足",G41)),ISNUMBER(SEARCH("過剰",G41)),ISNUMBER(SEARCH("高め",G41)))</formula>
    </cfRule>
    <cfRule type="expression" priority="4" dxfId="2">
      <formula>OR(G41="不足",G41="過剰",ISNUMBER(SEARCH("危険",G41)),ISNUMBER(SEARCH("！",G41)))</formula>
    </cfRule>
  </conditionalFormatting>
  <conditionalFormatting sqref="G42">
    <cfRule type="expression" priority="5" dxfId="0">
      <formula>G42="適正"</formula>
    </cfRule>
    <cfRule type="expression" priority="6" dxfId="1">
      <formula>ISNUMBER(SEARCH("やや",G42))</formula>
    </cfRule>
    <cfRule type="expression" priority="7" dxfId="1">
      <formula>OR(ISNUMBER(SEARCH("不足",G42)),ISNUMBER(SEARCH("過剰",G42)),ISNUMBER(SEARCH("高め",G42)))</formula>
    </cfRule>
    <cfRule type="expression" priority="8" dxfId="2">
      <formula>OR(G42="不足",G42="過剰",ISNUMBER(SEARCH("危険",G42)),ISNUMBER(SEARCH("！",G42)))</formula>
    </cfRule>
  </conditionalFormatting>
  <conditionalFormatting sqref="G43">
    <cfRule type="expression" priority="9" dxfId="0">
      <formula>G43="適正"</formula>
    </cfRule>
    <cfRule type="expression" priority="10" dxfId="1">
      <formula>ISNUMBER(SEARCH("やや",G43))</formula>
    </cfRule>
    <cfRule type="expression" priority="11" dxfId="1">
      <formula>OR(ISNUMBER(SEARCH("不足",G43)),ISNUMBER(SEARCH("過剰",G43)),ISNUMBER(SEARCH("高め",G43)))</formula>
    </cfRule>
    <cfRule type="expression" priority="12" dxfId="2">
      <formula>OR(G43="不足",G43="過剰",ISNUMBER(SEARCH("危険",G43)),ISNUMBER(SEARCH("！",G43)))</formula>
    </cfRule>
  </conditionalFormatting>
  <conditionalFormatting sqref="G44">
    <cfRule type="expression" priority="13" dxfId="0">
      <formula>G44="適正"</formula>
    </cfRule>
    <cfRule type="expression" priority="14" dxfId="1">
      <formula>ISNUMBER(SEARCH("やや",G44))</formula>
    </cfRule>
    <cfRule type="expression" priority="15" dxfId="1">
      <formula>OR(ISNUMBER(SEARCH("不足",G44)),ISNUMBER(SEARCH("過剰",G44)),ISNUMBER(SEARCH("高め",G44)))</formula>
    </cfRule>
    <cfRule type="expression" priority="16" dxfId="2">
      <formula>OR(G44="不足",G44="過剰",ISNUMBER(SEARCH("危険",G44)),ISNUMBER(SEARCH("！",G44)))</formula>
    </cfRule>
  </conditionalFormatting>
  <conditionalFormatting sqref="G45">
    <cfRule type="expression" priority="17" dxfId="0">
      <formula>G45="適正"</formula>
    </cfRule>
    <cfRule type="expression" priority="18" dxfId="1">
      <formula>ISNUMBER(SEARCH("やや",G45))</formula>
    </cfRule>
    <cfRule type="expression" priority="19" dxfId="1">
      <formula>OR(ISNUMBER(SEARCH("不足",G45)),ISNUMBER(SEARCH("過剰",G45)),ISNUMBER(SEARCH("高め",G45)))</formula>
    </cfRule>
    <cfRule type="expression" priority="20" dxfId="2">
      <formula>OR(G45="不足",G45="過剰",ISNUMBER(SEARCH("危険",G45)),ISNUMBER(SEARCH("！",G45)))</formula>
    </cfRule>
  </conditionalFormatting>
  <conditionalFormatting sqref="G46">
    <cfRule type="expression" priority="21" dxfId="0">
      <formula>G46="適正"</formula>
    </cfRule>
    <cfRule type="expression" priority="22" dxfId="1">
      <formula>ISNUMBER(SEARCH("やや",G46))</formula>
    </cfRule>
    <cfRule type="expression" priority="23" dxfId="1">
      <formula>OR(ISNUMBER(SEARCH("不足",G46)),ISNUMBER(SEARCH("過剰",G46)),ISNUMBER(SEARCH("高め",G46)))</formula>
    </cfRule>
    <cfRule type="expression" priority="24" dxfId="2">
      <formula>OR(G46="不足",G46="過剰",ISNUMBER(SEARCH("危険",G46)),ISNUMBER(SEARCH("！",G46)))</formula>
    </cfRule>
  </conditionalFormatting>
  <conditionalFormatting sqref="G47">
    <cfRule type="expression" priority="25" dxfId="0">
      <formula>G47="適正"</formula>
    </cfRule>
    <cfRule type="expression" priority="26" dxfId="1">
      <formula>ISNUMBER(SEARCH("やや",G47))</formula>
    </cfRule>
    <cfRule type="expression" priority="27" dxfId="1">
      <formula>OR(ISNUMBER(SEARCH("不足",G47)),ISNUMBER(SEARCH("過剰",G47)),ISNUMBER(SEARCH("高め",G47)))</formula>
    </cfRule>
    <cfRule type="expression" priority="28" dxfId="2">
      <formula>OR(G47="不足",G47="過剰",ISNUMBER(SEARCH("危険",G47)),ISNUMBER(SEARCH("！",G47)))</formula>
    </cfRule>
  </conditionalFormatting>
  <conditionalFormatting sqref="G48">
    <cfRule type="expression" priority="29" dxfId="0">
      <formula>G48="適正"</formula>
    </cfRule>
    <cfRule type="expression" priority="30" dxfId="1">
      <formula>ISNUMBER(SEARCH("やや",G48))</formula>
    </cfRule>
    <cfRule type="expression" priority="31" dxfId="1">
      <formula>OR(ISNUMBER(SEARCH("不足",G48)),ISNUMBER(SEARCH("過剰",G48)),ISNUMBER(SEARCH("高め",G48)))</formula>
    </cfRule>
    <cfRule type="expression" priority="32" dxfId="2">
      <formula>OR(G48="不足",G48="過剰",ISNUMBER(SEARCH("危険",G48)),ISNUMBER(SEARCH("！",G48)))</formula>
    </cfRule>
  </conditionalFormatting>
  <conditionalFormatting sqref="G49">
    <cfRule type="expression" priority="33" dxfId="0">
      <formula>G49="適正"</formula>
    </cfRule>
    <cfRule type="expression" priority="34" dxfId="1">
      <formula>ISNUMBER(SEARCH("やや",G49))</formula>
    </cfRule>
    <cfRule type="expression" priority="35" dxfId="1">
      <formula>OR(ISNUMBER(SEARCH("不足",G49)),ISNUMBER(SEARCH("過剰",G49)),ISNUMBER(SEARCH("高め",G49)))</formula>
    </cfRule>
    <cfRule type="expression" priority="36" dxfId="2">
      <formula>OR(G49="不足",G49="過剰",ISNUMBER(SEARCH("危険",G49)),ISNUMBER(SEARCH("！",G49)))</formula>
    </cfRule>
  </conditionalFormatting>
  <conditionalFormatting sqref="G50">
    <cfRule type="expression" priority="37" dxfId="0">
      <formula>G50="適正"</formula>
    </cfRule>
    <cfRule type="expression" priority="38" dxfId="1">
      <formula>ISNUMBER(SEARCH("やや",G50))</formula>
    </cfRule>
    <cfRule type="expression" priority="39" dxfId="1">
      <formula>OR(ISNUMBER(SEARCH("不足",G50)),ISNUMBER(SEARCH("過剰",G50)),ISNUMBER(SEARCH("高め",G50)))</formula>
    </cfRule>
    <cfRule type="expression" priority="40" dxfId="2">
      <formula>OR(G50="不足",G50="過剰",ISNUMBER(SEARCH("危険",G50)),ISNUMBER(SEARCH("！",G50)))</formula>
    </cfRule>
  </conditionalFormatting>
  <conditionalFormatting sqref="G51">
    <cfRule type="expression" priority="41" dxfId="0">
      <formula>G51="適正"</formula>
    </cfRule>
    <cfRule type="expression" priority="42" dxfId="1">
      <formula>ISNUMBER(SEARCH("やや",G51))</formula>
    </cfRule>
    <cfRule type="expression" priority="43" dxfId="1">
      <formula>OR(ISNUMBER(SEARCH("不足",G51)),ISNUMBER(SEARCH("過剰",G51)),ISNUMBER(SEARCH("高め",G51)))</formula>
    </cfRule>
    <cfRule type="expression" priority="44" dxfId="2">
      <formula>OR(G51="不足",G51="過剰",ISNUMBER(SEARCH("危険",G51)),ISNUMBER(SEARCH("！",G51)))</formula>
    </cfRule>
  </conditionalFormatting>
  <conditionalFormatting sqref="E53">
    <cfRule type="expression" priority="45" dxfId="0">
      <formula>ISNUMBER(SEARCH("安全",E53))</formula>
    </cfRule>
    <cfRule type="expression" priority="46" dxfId="1">
      <formula>ISNUMBER(SEARCH("注意",E53))</formula>
    </cfRule>
    <cfRule type="expression" priority="47" dxfId="2">
      <formula>ISNUMBER(SEARCH("危険",E53))</formula>
    </cfRule>
  </conditionalFormatting>
  <dataValidations count="3">
    <dataValidation sqref="B6" showDropDown="0" showInputMessage="0" showErrorMessage="0" allowBlank="0" type="list">
      <formula1>"早産児,正期産新生児(0〜1ヶ月),乳児(1〜12ヶ月),幼児(1〜3歳),学童(3〜10歳),思春期(10歳以上)"</formula1>
    </dataValidation>
    <dataValidation sqref="B21" showDropDown="0" showInputMessage="0" showErrorMessage="0" allowBlank="0" type="list">
      <formula1>"グルアセト35(250mL/本),ハイカリックNC-N(700mL/本),ハイカリックNC-L(700mL/本),フルカリック1号(903mL/本),フルカリック2号(1103mL/本),フルカリック3号(1103mL/本)"</formula1>
    </dataValidation>
    <dataValidation sqref="B26" showDropDown="0" showInputMessage="0" showErrorMessage="0" allowBlank="0" type="list">
      <formula1>"なし,プレアミンP 10%(200mL/本),アミパレン 10%(200mL/本),モリプロンF 10%(200mL/本)"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年齢区分</t>
        </is>
      </c>
      <c r="B1" t="inlineStr">
        <is>
          <t>輸液min</t>
        </is>
      </c>
      <c r="C1" t="inlineStr">
        <is>
          <t>輸液max</t>
        </is>
      </c>
      <c r="D1" t="inlineStr">
        <is>
          <t>kcalmin</t>
        </is>
      </c>
      <c r="E1" t="inlineStr">
        <is>
          <t>kcalmax</t>
        </is>
      </c>
      <c r="F1" t="inlineStr">
        <is>
          <t>AAmin</t>
        </is>
      </c>
      <c r="G1" t="inlineStr">
        <is>
          <t>AAmax</t>
        </is>
      </c>
      <c r="H1" t="inlineStr">
        <is>
          <t>Namin</t>
        </is>
      </c>
      <c r="I1" t="inlineStr">
        <is>
          <t>Namax</t>
        </is>
      </c>
      <c r="J1" t="inlineStr">
        <is>
          <t>Kmin</t>
        </is>
      </c>
      <c r="K1" t="inlineStr">
        <is>
          <t>Kmax</t>
        </is>
      </c>
      <c r="L1" t="inlineStr">
        <is>
          <t>Camin</t>
        </is>
      </c>
      <c r="M1" t="inlineStr">
        <is>
          <t>Camax</t>
        </is>
      </c>
      <c r="N1" t="inlineStr">
        <is>
          <t>Pmin</t>
        </is>
      </c>
      <c r="O1" t="inlineStr">
        <is>
          <t>Pmax</t>
        </is>
      </c>
      <c r="P1" t="inlineStr">
        <is>
          <t>Mgmin</t>
        </is>
      </c>
      <c r="Q1" t="inlineStr">
        <is>
          <t>Mgmax</t>
        </is>
      </c>
      <c r="R1" t="inlineStr">
        <is>
          <t>GIRmin</t>
        </is>
      </c>
      <c r="S1" t="inlineStr">
        <is>
          <t>GIRmax</t>
        </is>
      </c>
    </row>
    <row r="2">
      <c r="A2" t="inlineStr">
        <is>
          <t>早産児</t>
        </is>
      </c>
      <c r="B2" t="n">
        <v>120</v>
      </c>
      <c r="C2" t="n">
        <v>180</v>
      </c>
      <c r="D2" t="n">
        <v>100</v>
      </c>
      <c r="E2" t="n">
        <v>120</v>
      </c>
      <c r="F2" t="n">
        <v>3</v>
      </c>
      <c r="G2" t="n">
        <v>4</v>
      </c>
      <c r="H2" t="n">
        <v>3</v>
      </c>
      <c r="I2" t="n">
        <v>5</v>
      </c>
      <c r="J2" t="n">
        <v>2</v>
      </c>
      <c r="K2" t="n">
        <v>4</v>
      </c>
      <c r="L2" t="n">
        <v>1</v>
      </c>
      <c r="M2" t="n">
        <v>3</v>
      </c>
      <c r="N2" t="n">
        <v>1.5</v>
      </c>
      <c r="O2" t="n">
        <v>2.5</v>
      </c>
      <c r="P2" t="n">
        <v>0.2</v>
      </c>
      <c r="Q2" t="n">
        <v>0.3</v>
      </c>
      <c r="R2" t="n">
        <v>4</v>
      </c>
      <c r="S2" t="n">
        <v>10</v>
      </c>
    </row>
    <row r="3">
      <c r="A3" t="inlineStr">
        <is>
          <t>正期産新生児(0〜1ヶ月)</t>
        </is>
      </c>
      <c r="B3" t="n">
        <v>100</v>
      </c>
      <c r="C3" t="n">
        <v>150</v>
      </c>
      <c r="D3" t="n">
        <v>90</v>
      </c>
      <c r="E3" t="n">
        <v>110</v>
      </c>
      <c r="F3" t="n">
        <v>2.5</v>
      </c>
      <c r="G3" t="n">
        <v>3.5</v>
      </c>
      <c r="H3" t="n">
        <v>2</v>
      </c>
      <c r="I3" t="n">
        <v>4</v>
      </c>
      <c r="J3" t="n">
        <v>2</v>
      </c>
      <c r="K3" t="n">
        <v>3</v>
      </c>
      <c r="L3" t="n">
        <v>1</v>
      </c>
      <c r="M3" t="n">
        <v>2</v>
      </c>
      <c r="N3" t="n">
        <v>1</v>
      </c>
      <c r="O3" t="n">
        <v>2</v>
      </c>
      <c r="P3" t="n">
        <v>0.2</v>
      </c>
      <c r="Q3" t="n">
        <v>0.3</v>
      </c>
      <c r="R3" t="n">
        <v>4</v>
      </c>
      <c r="S3" t="n">
        <v>8</v>
      </c>
    </row>
    <row r="4">
      <c r="A4" t="inlineStr">
        <is>
          <t>乳児(1〜12ヶ月)</t>
        </is>
      </c>
      <c r="B4" t="n">
        <v>100</v>
      </c>
      <c r="C4" t="n">
        <v>150</v>
      </c>
      <c r="D4" t="n">
        <v>90</v>
      </c>
      <c r="E4" t="n">
        <v>110</v>
      </c>
      <c r="F4" t="n">
        <v>2</v>
      </c>
      <c r="G4" t="n">
        <v>3</v>
      </c>
      <c r="H4" t="n">
        <v>2</v>
      </c>
      <c r="I4" t="n">
        <v>4</v>
      </c>
      <c r="J4" t="n">
        <v>2</v>
      </c>
      <c r="K4" t="n">
        <v>3</v>
      </c>
      <c r="L4" t="n">
        <v>0.5</v>
      </c>
      <c r="M4" t="n">
        <v>1.5</v>
      </c>
      <c r="N4" t="n">
        <v>0.5</v>
      </c>
      <c r="O4" t="n">
        <v>1.5</v>
      </c>
      <c r="P4" t="n">
        <v>0.2</v>
      </c>
      <c r="Q4" t="n">
        <v>0.4</v>
      </c>
      <c r="R4" t="n">
        <v>3</v>
      </c>
      <c r="S4" t="n">
        <v>8</v>
      </c>
    </row>
    <row r="5">
      <c r="A5" t="inlineStr">
        <is>
          <t>幼児(1〜3歳)</t>
        </is>
      </c>
      <c r="B5" t="n">
        <v>80</v>
      </c>
      <c r="C5" t="n">
        <v>100</v>
      </c>
      <c r="D5" t="n">
        <v>75</v>
      </c>
      <c r="E5" t="n">
        <v>90</v>
      </c>
      <c r="F5" t="n">
        <v>1.5</v>
      </c>
      <c r="G5" t="n">
        <v>2.5</v>
      </c>
      <c r="H5" t="n">
        <v>2</v>
      </c>
      <c r="I5" t="n">
        <v>3</v>
      </c>
      <c r="J5" t="n">
        <v>2</v>
      </c>
      <c r="K5" t="n">
        <v>3</v>
      </c>
      <c r="L5" t="n">
        <v>0.5</v>
      </c>
      <c r="M5" t="n">
        <v>1</v>
      </c>
      <c r="N5" t="n">
        <v>0.5</v>
      </c>
      <c r="O5" t="n">
        <v>1</v>
      </c>
      <c r="P5" t="n">
        <v>0.2</v>
      </c>
      <c r="Q5" t="n">
        <v>0.4</v>
      </c>
      <c r="R5" t="n">
        <v>3</v>
      </c>
      <c r="S5" t="n">
        <v>6</v>
      </c>
    </row>
    <row r="6">
      <c r="A6" t="inlineStr">
        <is>
          <t>学童(3〜10歳)</t>
        </is>
      </c>
      <c r="B6" t="n">
        <v>60</v>
      </c>
      <c r="C6" t="n">
        <v>80</v>
      </c>
      <c r="D6" t="n">
        <v>60</v>
      </c>
      <c r="E6" t="n">
        <v>75</v>
      </c>
      <c r="F6" t="n">
        <v>1</v>
      </c>
      <c r="G6" t="n">
        <v>2</v>
      </c>
      <c r="H6" t="n">
        <v>1.5</v>
      </c>
      <c r="I6" t="n">
        <v>3</v>
      </c>
      <c r="J6" t="n">
        <v>1.5</v>
      </c>
      <c r="K6" t="n">
        <v>3</v>
      </c>
      <c r="L6" t="n">
        <v>0.2</v>
      </c>
      <c r="M6" t="n">
        <v>0.5</v>
      </c>
      <c r="N6" t="n">
        <v>0.2</v>
      </c>
      <c r="O6" t="n">
        <v>0.5</v>
      </c>
      <c r="P6" t="n">
        <v>0.1</v>
      </c>
      <c r="Q6" t="n">
        <v>0.3</v>
      </c>
      <c r="R6" t="n">
        <v>2</v>
      </c>
      <c r="S6" t="n">
        <v>5</v>
      </c>
    </row>
    <row r="7">
      <c r="A7" t="inlineStr">
        <is>
          <t>思春期(10歳以上)</t>
        </is>
      </c>
      <c r="B7" t="n">
        <v>50</v>
      </c>
      <c r="C7" t="n">
        <v>60</v>
      </c>
      <c r="D7" t="n">
        <v>50</v>
      </c>
      <c r="E7" t="n">
        <v>60</v>
      </c>
      <c r="F7" t="n">
        <v>0.8</v>
      </c>
      <c r="G7" t="n">
        <v>1.5</v>
      </c>
      <c r="H7" t="n">
        <v>1</v>
      </c>
      <c r="I7" t="n">
        <v>2</v>
      </c>
      <c r="J7" t="n">
        <v>1</v>
      </c>
      <c r="K7" t="n">
        <v>2</v>
      </c>
      <c r="L7" t="n">
        <v>0.2</v>
      </c>
      <c r="M7" t="n">
        <v>0.5</v>
      </c>
      <c r="N7" t="n">
        <v>0.2</v>
      </c>
      <c r="O7" t="n">
        <v>0.5</v>
      </c>
      <c r="P7" t="n">
        <v>0.1</v>
      </c>
      <c r="Q7" t="n">
        <v>0.3</v>
      </c>
      <c r="R7" t="n">
        <v>2</v>
      </c>
      <c r="S7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製剤名</t>
        </is>
      </c>
      <c r="B1" t="inlineStr">
        <is>
          <t>容量mL</t>
        </is>
      </c>
      <c r="C1" t="inlineStr">
        <is>
          <t>糖質g</t>
        </is>
      </c>
      <c r="D1" t="inlineStr">
        <is>
          <t>AAg</t>
        </is>
      </c>
      <c r="E1" t="inlineStr">
        <is>
          <t>脂質g</t>
        </is>
      </c>
      <c r="F1" t="inlineStr">
        <is>
          <t>Na</t>
        </is>
      </c>
      <c r="G1" t="inlineStr">
        <is>
          <t>K</t>
        </is>
      </c>
      <c r="H1" t="inlineStr">
        <is>
          <t>Ca</t>
        </is>
      </c>
      <c r="I1" t="inlineStr">
        <is>
          <t>Mg</t>
        </is>
      </c>
      <c r="J1" t="inlineStr">
        <is>
          <t>P</t>
        </is>
      </c>
    </row>
    <row r="2">
      <c r="A2" t="inlineStr">
        <is>
          <t>グルアセト35(250mL/本)</t>
        </is>
      </c>
      <c r="B2" t="n">
        <v>250</v>
      </c>
      <c r="C2" t="n">
        <v>87.5</v>
      </c>
      <c r="D2" t="n">
        <v>0</v>
      </c>
      <c r="E2" t="n">
        <v>0</v>
      </c>
      <c r="F2" t="n">
        <v>34</v>
      </c>
      <c r="G2" t="n">
        <v>14.5</v>
      </c>
      <c r="H2" t="n">
        <v>4.5</v>
      </c>
      <c r="I2" t="n">
        <v>4</v>
      </c>
      <c r="J2" t="n">
        <v>10</v>
      </c>
    </row>
    <row r="3">
      <c r="A3" t="inlineStr">
        <is>
          <t>ハイカリックNC-N(700mL/本)</t>
        </is>
      </c>
      <c r="B3" t="n">
        <v>700</v>
      </c>
      <c r="C3" t="n">
        <v>175</v>
      </c>
      <c r="D3" t="n">
        <v>30</v>
      </c>
      <c r="E3" t="n">
        <v>0</v>
      </c>
      <c r="F3" t="n">
        <v>35</v>
      </c>
      <c r="G3" t="n">
        <v>20</v>
      </c>
      <c r="H3" t="n">
        <v>4.5</v>
      </c>
      <c r="I3" t="n">
        <v>5</v>
      </c>
      <c r="J3" t="n">
        <v>10</v>
      </c>
    </row>
    <row r="4">
      <c r="A4" t="inlineStr">
        <is>
          <t>ハイカリックNC-L(700mL/本)</t>
        </is>
      </c>
      <c r="B4" t="n">
        <v>700</v>
      </c>
      <c r="C4" t="n">
        <v>200</v>
      </c>
      <c r="D4" t="n">
        <v>30</v>
      </c>
      <c r="E4" t="n">
        <v>0</v>
      </c>
      <c r="F4" t="n">
        <v>35</v>
      </c>
      <c r="G4" t="n">
        <v>20</v>
      </c>
      <c r="H4" t="n">
        <v>4.5</v>
      </c>
      <c r="I4" t="n">
        <v>5</v>
      </c>
      <c r="J4" t="n">
        <v>10</v>
      </c>
    </row>
    <row r="5">
      <c r="A5" t="inlineStr">
        <is>
          <t>フルカリック1号(903mL/本)</t>
        </is>
      </c>
      <c r="B5" t="n">
        <v>903</v>
      </c>
      <c r="C5" t="n">
        <v>150</v>
      </c>
      <c r="D5" t="n">
        <v>20</v>
      </c>
      <c r="E5" t="n">
        <v>20</v>
      </c>
      <c r="F5" t="n">
        <v>35</v>
      </c>
      <c r="G5" t="n">
        <v>20</v>
      </c>
      <c r="H5" t="n">
        <v>5</v>
      </c>
      <c r="I5" t="n">
        <v>4</v>
      </c>
      <c r="J5" t="n">
        <v>10</v>
      </c>
    </row>
    <row r="6">
      <c r="A6" t="inlineStr">
        <is>
          <t>フルカリック2号(1103mL/本)</t>
        </is>
      </c>
      <c r="B6" t="n">
        <v>1103</v>
      </c>
      <c r="C6" t="n">
        <v>200</v>
      </c>
      <c r="D6" t="n">
        <v>40</v>
      </c>
      <c r="E6" t="n">
        <v>30</v>
      </c>
      <c r="F6" t="n">
        <v>50</v>
      </c>
      <c r="G6" t="n">
        <v>27</v>
      </c>
      <c r="H6" t="n">
        <v>7.5</v>
      </c>
      <c r="I6" t="n">
        <v>6</v>
      </c>
      <c r="J6" t="n">
        <v>15</v>
      </c>
    </row>
    <row r="7">
      <c r="A7" t="inlineStr">
        <is>
          <t>フルカリック3号(1103mL/本)</t>
        </is>
      </c>
      <c r="B7" t="n">
        <v>1103</v>
      </c>
      <c r="C7" t="n">
        <v>250</v>
      </c>
      <c r="D7" t="n">
        <v>60</v>
      </c>
      <c r="E7" t="n">
        <v>40</v>
      </c>
      <c r="F7" t="n">
        <v>60</v>
      </c>
      <c r="G7" t="n">
        <v>34</v>
      </c>
      <c r="H7" t="n">
        <v>10</v>
      </c>
      <c r="I7" t="n">
        <v>8</v>
      </c>
      <c r="J7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製剤名</t>
        </is>
      </c>
      <c r="B1" t="inlineStr">
        <is>
          <t>容量mL</t>
        </is>
      </c>
      <c r="C1" t="inlineStr">
        <is>
          <t>AAg</t>
        </is>
      </c>
      <c r="D1" t="inlineStr">
        <is>
          <t>Na</t>
        </is>
      </c>
      <c r="E1" t="inlineStr">
        <is>
          <t>K</t>
        </is>
      </c>
    </row>
    <row r="2">
      <c r="A2" t="inlineStr">
        <is>
          <t>なし</t>
        </is>
      </c>
      <c r="B2" t="n">
        <v>1</v>
      </c>
      <c r="C2" t="n">
        <v>0</v>
      </c>
      <c r="D2" t="n">
        <v>0</v>
      </c>
      <c r="E2" t="n">
        <v>0</v>
      </c>
    </row>
    <row r="3">
      <c r="A3" t="inlineStr">
        <is>
          <t>プレアミンP 10%(200mL/本)</t>
        </is>
      </c>
      <c r="B3" t="n">
        <v>200</v>
      </c>
      <c r="C3" t="n">
        <v>20</v>
      </c>
      <c r="D3" t="n">
        <v>4</v>
      </c>
      <c r="E3" t="n">
        <v>3</v>
      </c>
    </row>
    <row r="4">
      <c r="A4" t="inlineStr">
        <is>
          <t>アミパレン 10%(200mL/本)</t>
        </is>
      </c>
      <c r="B4" t="n">
        <v>200</v>
      </c>
      <c r="C4" t="n">
        <v>20</v>
      </c>
      <c r="D4" t="n">
        <v>0</v>
      </c>
      <c r="E4" t="n">
        <v>0</v>
      </c>
    </row>
    <row r="5">
      <c r="A5" t="inlineStr">
        <is>
          <t>モリプロンF 10%(200mL/本)</t>
        </is>
      </c>
      <c r="B5" t="n">
        <v>200</v>
      </c>
      <c r="C5" t="n">
        <v>20</v>
      </c>
      <c r="D5" t="n">
        <v>0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2026-06-13T16:05:37Z</dcterms:created>
  <dcterms:modified xsi:type="dcterms:W3CDTF">2026-06-13T16:05:37Z</dcterms:modified>
</cp:coreProperties>
</file>